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uy\AppData\Local\Packages\5319275A.WhatsAppDesktop_cv1g1gvanyjgm\LocalState\sessions\A670C4A6445411AB606EB22C8E67F73616CDF254\transfers\2026-22\"/>
    </mc:Choice>
  </mc:AlternateContent>
  <xr:revisionPtr revIDLastSave="0" documentId="13_ncr:1_{1CA5B249-560E-4848-BF5A-D9927D8196FA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Executive Summary" sheetId="1" r:id="rId1"/>
    <sheet name="Ministry Allocation" sheetId="2" r:id="rId2"/>
    <sheet name="Expenditure Structure" sheetId="3" r:id="rId3"/>
    <sheet name="Revenue Sources" sheetId="4" r:id="rId4"/>
    <sheet name="Fiscal Trends" sheetId="5" r:id="rId5"/>
    <sheet name="Top Priority Sectors" sheetId="6" r:id="rId6"/>
    <sheet name="Key Highligh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6" l="1"/>
  <c r="C7" i="6"/>
  <c r="C6" i="6"/>
  <c r="C5" i="6"/>
  <c r="C4" i="6"/>
  <c r="C3" i="6"/>
  <c r="F5" i="5"/>
  <c r="F4" i="5"/>
  <c r="F3" i="5"/>
  <c r="C7" i="4"/>
  <c r="B7" i="4"/>
  <c r="C6" i="4"/>
  <c r="C5" i="4"/>
  <c r="C4" i="4"/>
  <c r="C3" i="4"/>
  <c r="C6" i="3"/>
  <c r="B6" i="3"/>
  <c r="C5" i="3"/>
  <c r="C4" i="3"/>
  <c r="C3" i="3"/>
  <c r="B21" i="2"/>
  <c r="C20" i="2"/>
  <c r="C19" i="2"/>
  <c r="C18" i="2"/>
  <c r="C17" i="2"/>
  <c r="C16" i="2"/>
  <c r="C15" i="2"/>
  <c r="C14" i="2"/>
  <c r="C13" i="2"/>
  <c r="C12" i="2"/>
  <c r="C21" i="2" s="1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<sst xmlns="http://schemas.openxmlformats.org/spreadsheetml/2006/main" count="149" uniqueCount="123">
  <si>
    <t>NEPAL FEDERAL BUDGET 2083/84 - EXECUTIVE SUMMARY</t>
  </si>
  <si>
    <t>KEY BUDGET METRICS</t>
  </si>
  <si>
    <t>Total Budget Allocation</t>
  </si>
  <si>
    <t>NPR 2,124.34 Billion</t>
  </si>
  <si>
    <t>Current Expenditure</t>
  </si>
  <si>
    <t>NPR 1,270.58 Billion (59.8%)</t>
  </si>
  <si>
    <t>Capital Expenditure</t>
  </si>
  <si>
    <t>NPR 431.10 Billion (20.3%)</t>
  </si>
  <si>
    <t>Financial Management</t>
  </si>
  <si>
    <t>NPR 422.64 Billion (19.9%)</t>
  </si>
  <si>
    <t>Total Revenue (Estimated)</t>
  </si>
  <si>
    <t>NPR 1,405.31 Billion</t>
  </si>
  <si>
    <t>Budget Deficit</t>
  </si>
  <si>
    <t>NPR 657.29 Billion</t>
  </si>
  <si>
    <t>Foreign Grants</t>
  </si>
  <si>
    <t>NPR 61.74 Billion</t>
  </si>
  <si>
    <t>Foreign Loans</t>
  </si>
  <si>
    <t>NPR 247.28 Billion</t>
  </si>
  <si>
    <t>Domestic Borrowing</t>
  </si>
  <si>
    <t>NPR 410.00 Billion</t>
  </si>
  <si>
    <t>YoY Growth Rate</t>
  </si>
  <si>
    <t>25.2% (vs FY 2082/83)</t>
  </si>
  <si>
    <t>NEPAL BUDGET 2083/84 - MINISTRY-WISE ALLOCATION</t>
  </si>
  <si>
    <t>Ministry/Department</t>
  </si>
  <si>
    <t>Budget (NPR Billion)</t>
  </si>
  <si>
    <t>% of Total Budget</t>
  </si>
  <si>
    <t>Growth vs 2082/83</t>
  </si>
  <si>
    <t>Status</t>
  </si>
  <si>
    <t>Ministry of Infrastructure Development</t>
  </si>
  <si>
    <t>Approved</t>
  </si>
  <si>
    <t>Ministry of Education and Sports</t>
  </si>
  <si>
    <t>Ministry of Women, Children and Social Welfare</t>
  </si>
  <si>
    <t>Ministry of Energy, Water Resources and Irrigation</t>
  </si>
  <si>
    <t>Ministry of Home Affairs</t>
  </si>
  <si>
    <t>Ministry of Health and Population</t>
  </si>
  <si>
    <t>Ministry of Finance</t>
  </si>
  <si>
    <t>Ministry of Agriculture, Forestry and Environment</t>
  </si>
  <si>
    <t>Ministry of Defence</t>
  </si>
  <si>
    <t>Ministry of Industry, Commerce and Supplies</t>
  </si>
  <si>
    <t>Ministry of Foreign Affairs</t>
  </si>
  <si>
    <t>Ministry of Law, Justice and Parliamentary Affairs</t>
  </si>
  <si>
    <t>Ministry of Culture, Tourism and Civil Aviation</t>
  </si>
  <si>
    <t>Ministry of Labour, Employment and Social Security</t>
  </si>
  <si>
    <t>Ministry of Land Management, Cooperative and Poverty Alleviation</t>
  </si>
  <si>
    <t>Ministry of Information and Communications</t>
  </si>
  <si>
    <t>Office of Prime Minister</t>
  </si>
  <si>
    <t>Other Ministries &amp; Departments</t>
  </si>
  <si>
    <t>TOTAL BUDGET</t>
  </si>
  <si>
    <t>NEPAL BUDGET 2083/84 - EXPENDITURE STRUCTURE</t>
  </si>
  <si>
    <t>Expenditure Category</t>
  </si>
  <si>
    <t>Amount (NPR Billion)</t>
  </si>
  <si>
    <t>Key Components</t>
  </si>
  <si>
    <t>Salaries, Operations, Services</t>
  </si>
  <si>
    <t>Infrastructure, Development Projects</t>
  </si>
  <si>
    <t>Debt Servicing, Contingencies</t>
  </si>
  <si>
    <t>TOTAL EXPENDITURE</t>
  </si>
  <si>
    <t>NEPAL BUDGET 2083/84 - REVENUE &amp; FINANCING SOURCES</t>
  </si>
  <si>
    <t>Financing Source</t>
  </si>
  <si>
    <t>% of Total</t>
  </si>
  <si>
    <t>Type</t>
  </si>
  <si>
    <t>Revenue Collection (Domestic)</t>
  </si>
  <si>
    <t>Tax &amp; Non-Tax</t>
  </si>
  <si>
    <t>International Aid</t>
  </si>
  <si>
    <t>External Borrowing</t>
  </si>
  <si>
    <t>Internal Loans</t>
  </si>
  <si>
    <t>TOTAL BUDGET FINANCING</t>
  </si>
  <si>
    <t>NEPAL FISCAL TRENDS (2081/82 - 2083/84)</t>
  </si>
  <si>
    <t>Fiscal Year</t>
  </si>
  <si>
    <t>Total Budget (NPR B)</t>
  </si>
  <si>
    <t>YoY Growth %</t>
  </si>
  <si>
    <t>Revenue (NPR B)</t>
  </si>
  <si>
    <t>Expenditure (NPR B)</t>
  </si>
  <si>
    <t>Deficit (NPR B)</t>
  </si>
  <si>
    <t>2081/82</t>
  </si>
  <si>
    <t>2082/83 (Revised)</t>
  </si>
  <si>
    <t>2083/84 (Budget)</t>
  </si>
  <si>
    <t>NEPAL BUDGET 2083/84 - TOP PRIORITY SECTORS</t>
  </si>
  <si>
    <t>Sector/Priority</t>
  </si>
  <si>
    <t>Budget (NPR B)</t>
  </si>
  <si>
    <t>Key Initiatives</t>
  </si>
  <si>
    <t>Focus Area</t>
  </si>
  <si>
    <t>Infrastructure &amp; Development</t>
  </si>
  <si>
    <t>Transport, Roads, Bridges</t>
  </si>
  <si>
    <t>Economic Growth</t>
  </si>
  <si>
    <t>Education &amp; Sports</t>
  </si>
  <si>
    <t>Student Scholarships, Schools</t>
  </si>
  <si>
    <t>Human Capital</t>
  </si>
  <si>
    <t>Health &amp; Wellness</t>
  </si>
  <si>
    <t>Health Insurance, SMOG Program</t>
  </si>
  <si>
    <t>Public Health</t>
  </si>
  <si>
    <t>Energy &amp; Water Resources</t>
  </si>
  <si>
    <t>Renewable Energy, Irrigation</t>
  </si>
  <si>
    <t>Sustainability</t>
  </si>
  <si>
    <t>Agricultural Development</t>
  </si>
  <si>
    <t>Farm Support, Forestry</t>
  </si>
  <si>
    <t>Rural Economy</t>
  </si>
  <si>
    <t>Social Security &amp; Welfare</t>
  </si>
  <si>
    <t>PMJDY, Senior Citizens</t>
  </si>
  <si>
    <t>Social Protection</t>
  </si>
  <si>
    <t>NEPAL BUDGET 2083/84 - KEY HIGHLIGHTS &amp; REFORMS</t>
  </si>
  <si>
    <t>Policy Initiatives</t>
  </si>
  <si>
    <t>Description</t>
  </si>
  <si>
    <t>Personal Income Tax Exemption</t>
  </si>
  <si>
    <t>Doubled to NPR 1 million from NPR 500,000</t>
  </si>
  <si>
    <t>Personal Income Tax Rate Reduction</t>
  </si>
  <si>
    <t>Reduced by 10 percentage points</t>
  </si>
  <si>
    <t>Custom Duty Reduction</t>
  </si>
  <si>
    <t>Reduced for 273 types of raw materials</t>
  </si>
  <si>
    <t>Sovereign AI Computing Center</t>
  </si>
  <si>
    <t>Nepal's first AI computing center establishment</t>
  </si>
  <si>
    <t>Civil Servant Salary Increase</t>
  </si>
  <si>
    <t>21% salary increase for civil servants</t>
  </si>
  <si>
    <t>NEA Restructuring</t>
  </si>
  <si>
    <t>Nepal Electricity Authority split into 3 companies</t>
  </si>
  <si>
    <t>Medical Education Programs</t>
  </si>
  <si>
    <t>4 medical disciplines at Shahid Dasharath Chand University</t>
  </si>
  <si>
    <t>Student Scholarships</t>
  </si>
  <si>
    <t>NPR 8.60 billion allocated for student scholarships</t>
  </si>
  <si>
    <t>Health Insurance Program</t>
  </si>
  <si>
    <t>NPR 15 billion allocation for health insurance</t>
  </si>
  <si>
    <t>Budget Size Growth</t>
  </si>
  <si>
    <t>25.2% increase from FY 2082/83 (Largest budget in Nepal history)</t>
  </si>
  <si>
    <t>Fiscal Year 2083/84 (2026/27) | Presented by: Finance Minister Dr. Swarnim Wagle | May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</si>
</sst>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name val="Arial"/>
      <charset val="1"/>
    </font>
    <font>
      <b/>
      <sz val="11"/>
      <color rgb="FF1F4E78"/>
      <name val="Cambria"/>
      <charset val="1"/>
    </font>
    <font>
      <b/>
      <sz val="10"/>
      <name val="Cambria"/>
      <charset val="1"/>
    </font>
    <font>
      <b/>
      <sz val="10"/>
      <color rgb="FFC00000"/>
      <name val="Cambria"/>
      <charset val="1"/>
    </font>
    <font>
      <b/>
      <sz val="12"/>
      <color rgb="FFFFFFFF"/>
      <name val="Arial"/>
      <charset val="1"/>
    </font>
    <font>
      <b/>
      <sz val="10"/>
      <color rgb="FFFFFFFF"/>
      <name val="Cambria"/>
      <charset val="1"/>
    </font>
    <font>
      <b/>
      <sz val="11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203864"/>
        <bgColor rgb="FF1F4E78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70AD47"/>
        <bgColor rgb="FF92D050"/>
      </patternFill>
    </fill>
    <fill>
      <patternFill patternType="solid">
        <fgColor rgb="FF5B9BD5"/>
        <bgColor rgb="FF4472C4"/>
      </patternFill>
    </fill>
    <fill>
      <patternFill patternType="solid">
        <fgColor rgb="FFC55A11"/>
        <bgColor rgb="FF993300"/>
      </patternFill>
    </fill>
    <fill>
      <patternFill patternType="solid">
        <fgColor rgb="FF92D050"/>
        <bgColor rgb="FF70AD4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4" borderId="1" xfId="0" applyFont="1" applyFill="1" applyBorder="1" applyAlignment="1">
      <alignment horizontal="center" wrapText="1"/>
    </xf>
    <xf numFmtId="4" fontId="0" fillId="0" borderId="0" xfId="0" applyNumberFormat="1" applyAlignment="1">
      <alignment horizontal="right"/>
    </xf>
    <xf numFmtId="10" fontId="0" fillId="0" borderId="0" xfId="0" applyNumberFormat="1"/>
    <xf numFmtId="164" fontId="0" fillId="0" borderId="0" xfId="0" applyNumberFormat="1"/>
    <xf numFmtId="0" fontId="8" fillId="0" borderId="2" xfId="0" applyFont="1" applyBorder="1"/>
    <xf numFmtId="4" fontId="8" fillId="5" borderId="2" xfId="0" applyNumberFormat="1" applyFont="1" applyFill="1" applyBorder="1"/>
    <xf numFmtId="10" fontId="8" fillId="5" borderId="0" xfId="0" applyNumberFormat="1" applyFont="1" applyFill="1"/>
    <xf numFmtId="0" fontId="7" fillId="6" borderId="1" xfId="0" applyFont="1" applyFill="1" applyBorder="1" applyAlignment="1">
      <alignment horizontal="center" wrapText="1"/>
    </xf>
    <xf numFmtId="0" fontId="8" fillId="0" borderId="0" xfId="0" applyFont="1"/>
    <xf numFmtId="4" fontId="8" fillId="5" borderId="0" xfId="0" applyNumberFormat="1" applyFont="1" applyFill="1"/>
    <xf numFmtId="164" fontId="8" fillId="5" borderId="0" xfId="0" applyNumberFormat="1" applyFont="1" applyFill="1"/>
    <xf numFmtId="0" fontId="7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164" fontId="0" fillId="0" borderId="0" xfId="0" applyNumberFormat="1" applyAlignment="1">
      <alignment horizontal="right"/>
    </xf>
    <xf numFmtId="0" fontId="7" fillId="9" borderId="1" xfId="0" applyFont="1" applyFill="1" applyBorder="1" applyAlignment="1">
      <alignment horizontal="center" wrapText="1"/>
    </xf>
    <xf numFmtId="0" fontId="7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C55A11"/>
      <rgbColor rgb="FF666699"/>
      <rgbColor rgb="FF70AD47"/>
      <rgbColor rgb="FF20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A2" sqref="A2:F2"/>
    </sheetView>
  </sheetViews>
  <sheetFormatPr defaultColWidth="8.6328125" defaultRowHeight="14.5" x14ac:dyDescent="0.35"/>
  <cols>
    <col min="1" max="1" width="35" customWidth="1"/>
    <col min="2" max="2" width="28" customWidth="1"/>
  </cols>
  <sheetData>
    <row r="1" spans="1:6" ht="24.75" customHeight="1" x14ac:dyDescent="0.35">
      <c r="A1" s="3" t="s">
        <v>0</v>
      </c>
      <c r="B1" s="3"/>
      <c r="C1" s="3"/>
      <c r="D1" s="3"/>
      <c r="E1" s="3"/>
      <c r="F1" s="3"/>
    </row>
    <row r="2" spans="1:6" x14ac:dyDescent="0.35">
      <c r="A2" s="2" t="s">
        <v>122</v>
      </c>
      <c r="B2" s="2"/>
      <c r="C2" s="2"/>
      <c r="D2" s="2"/>
      <c r="E2" s="2"/>
      <c r="F2" s="2"/>
    </row>
    <row r="3" spans="1:6" ht="1.5" customHeight="1" x14ac:dyDescent="0.35"/>
    <row r="4" spans="1:6" x14ac:dyDescent="0.35">
      <c r="A4" s="4" t="s">
        <v>1</v>
      </c>
    </row>
    <row r="5" spans="1:6" x14ac:dyDescent="0.35">
      <c r="A5" s="5" t="s">
        <v>2</v>
      </c>
      <c r="B5" s="6" t="s">
        <v>3</v>
      </c>
    </row>
    <row r="6" spans="1:6" x14ac:dyDescent="0.35">
      <c r="A6" s="5" t="s">
        <v>4</v>
      </c>
      <c r="B6" s="6" t="s">
        <v>5</v>
      </c>
    </row>
    <row r="7" spans="1:6" x14ac:dyDescent="0.35">
      <c r="A7" s="5" t="s">
        <v>6</v>
      </c>
      <c r="B7" s="6" t="s">
        <v>7</v>
      </c>
    </row>
    <row r="8" spans="1:6" x14ac:dyDescent="0.35">
      <c r="A8" s="5" t="s">
        <v>8</v>
      </c>
      <c r="B8" s="6" t="s">
        <v>9</v>
      </c>
    </row>
    <row r="9" spans="1:6" x14ac:dyDescent="0.35">
      <c r="A9" s="5" t="s">
        <v>10</v>
      </c>
      <c r="B9" s="6" t="s">
        <v>11</v>
      </c>
    </row>
    <row r="10" spans="1:6" x14ac:dyDescent="0.35">
      <c r="A10" s="5" t="s">
        <v>12</v>
      </c>
      <c r="B10" s="6" t="s">
        <v>13</v>
      </c>
    </row>
    <row r="11" spans="1:6" x14ac:dyDescent="0.35">
      <c r="A11" s="5" t="s">
        <v>14</v>
      </c>
      <c r="B11" s="6" t="s">
        <v>15</v>
      </c>
    </row>
    <row r="12" spans="1:6" x14ac:dyDescent="0.35">
      <c r="A12" s="5" t="s">
        <v>16</v>
      </c>
      <c r="B12" s="6" t="s">
        <v>17</v>
      </c>
    </row>
    <row r="13" spans="1:6" x14ac:dyDescent="0.35">
      <c r="A13" s="5" t="s">
        <v>18</v>
      </c>
      <c r="B13" s="6" t="s">
        <v>19</v>
      </c>
    </row>
    <row r="14" spans="1:6" x14ac:dyDescent="0.35">
      <c r="A14" s="5" t="s">
        <v>20</v>
      </c>
      <c r="B14" s="6" t="s">
        <v>21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/>
  </sheetViews>
  <sheetFormatPr defaultColWidth="8.6328125" defaultRowHeight="14.5" x14ac:dyDescent="0.35"/>
  <cols>
    <col min="1" max="1" width="45" customWidth="1"/>
    <col min="2" max="2" width="18" customWidth="1"/>
    <col min="3" max="4" width="16" customWidth="1"/>
    <col min="5" max="5" width="12" customWidth="1"/>
  </cols>
  <sheetData>
    <row r="1" spans="1:5" ht="21.75" customHeight="1" x14ac:dyDescent="0.35">
      <c r="A1" s="1" t="s">
        <v>22</v>
      </c>
      <c r="B1" s="1"/>
      <c r="C1" s="1"/>
      <c r="D1" s="1"/>
      <c r="E1" s="1"/>
    </row>
    <row r="2" spans="1:5" ht="26" x14ac:dyDescent="0.3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</row>
    <row r="3" spans="1:5" x14ac:dyDescent="0.35">
      <c r="A3" t="s">
        <v>28</v>
      </c>
      <c r="B3" s="8">
        <v>302.83</v>
      </c>
      <c r="C3" s="9">
        <f t="shared" ref="C3:C20" si="0">B3/SUM($B$3:$B$20)</f>
        <v>0.17564322668955754</v>
      </c>
      <c r="D3" s="10">
        <v>0.185</v>
      </c>
      <c r="E3" t="s">
        <v>29</v>
      </c>
    </row>
    <row r="4" spans="1:5" x14ac:dyDescent="0.35">
      <c r="A4" t="s">
        <v>30</v>
      </c>
      <c r="B4" s="8">
        <v>218.3</v>
      </c>
      <c r="C4" s="9">
        <f t="shared" si="0"/>
        <v>0.12661531679929469</v>
      </c>
      <c r="D4" s="10">
        <v>0.123</v>
      </c>
      <c r="E4" t="s">
        <v>29</v>
      </c>
    </row>
    <row r="5" spans="1:5" x14ac:dyDescent="0.35">
      <c r="A5" t="s">
        <v>31</v>
      </c>
      <c r="B5" s="8">
        <v>122.61</v>
      </c>
      <c r="C5" s="9">
        <f t="shared" si="0"/>
        <v>7.1114539591211737E-2</v>
      </c>
      <c r="D5" s="10">
        <v>8.8999999999999996E-2</v>
      </c>
      <c r="E5" t="s">
        <v>29</v>
      </c>
    </row>
    <row r="6" spans="1:5" x14ac:dyDescent="0.35">
      <c r="A6" t="s">
        <v>32</v>
      </c>
      <c r="B6" s="8">
        <v>114.02</v>
      </c>
      <c r="C6" s="9">
        <f t="shared" si="0"/>
        <v>6.6132287775792858E-2</v>
      </c>
      <c r="D6" s="10">
        <v>0.152</v>
      </c>
      <c r="E6" t="s">
        <v>29</v>
      </c>
    </row>
    <row r="7" spans="1:5" x14ac:dyDescent="0.35">
      <c r="A7" t="s">
        <v>33</v>
      </c>
      <c r="B7" s="8">
        <v>108.32</v>
      </c>
      <c r="C7" s="9">
        <f t="shared" si="0"/>
        <v>6.282625339303527E-2</v>
      </c>
      <c r="D7" s="10">
        <v>6.8000000000000005E-2</v>
      </c>
      <c r="E7" t="s">
        <v>29</v>
      </c>
    </row>
    <row r="8" spans="1:5" x14ac:dyDescent="0.35">
      <c r="A8" t="s">
        <v>34</v>
      </c>
      <c r="B8" s="8">
        <v>96.43</v>
      </c>
      <c r="C8" s="9">
        <f t="shared" si="0"/>
        <v>5.5929981671809383E-2</v>
      </c>
      <c r="D8" s="10">
        <v>0.105</v>
      </c>
      <c r="E8" t="s">
        <v>29</v>
      </c>
    </row>
    <row r="9" spans="1:5" x14ac:dyDescent="0.35">
      <c r="A9" t="s">
        <v>35</v>
      </c>
      <c r="B9" s="8">
        <v>84.73</v>
      </c>
      <c r="C9" s="9">
        <f t="shared" si="0"/>
        <v>4.9143911096675395E-2</v>
      </c>
      <c r="D9" s="10">
        <v>5.1999999999999998E-2</v>
      </c>
      <c r="E9" t="s">
        <v>29</v>
      </c>
    </row>
    <row r="10" spans="1:5" x14ac:dyDescent="0.35">
      <c r="A10" t="s">
        <v>36</v>
      </c>
      <c r="B10" s="8">
        <v>73.12</v>
      </c>
      <c r="C10" s="9">
        <f t="shared" si="0"/>
        <v>4.2410041064427063E-2</v>
      </c>
      <c r="D10" s="10">
        <v>7.5999999999999998E-2</v>
      </c>
      <c r="E10" t="s">
        <v>29</v>
      </c>
    </row>
    <row r="11" spans="1:5" x14ac:dyDescent="0.35">
      <c r="A11" t="s">
        <v>37</v>
      </c>
      <c r="B11" s="8">
        <v>64.959999999999994</v>
      </c>
      <c r="C11" s="9">
        <f t="shared" si="0"/>
        <v>3.7677191842795152E-2</v>
      </c>
      <c r="D11" s="10">
        <v>8.1000000000000003E-2</v>
      </c>
      <c r="E11" t="s">
        <v>29</v>
      </c>
    </row>
    <row r="12" spans="1:5" x14ac:dyDescent="0.35">
      <c r="A12" t="s">
        <v>38</v>
      </c>
      <c r="B12" s="8">
        <v>52.45</v>
      </c>
      <c r="C12" s="9">
        <f t="shared" si="0"/>
        <v>3.0421316381690364E-2</v>
      </c>
      <c r="D12" s="10">
        <v>9.2999999999999999E-2</v>
      </c>
      <c r="E12" t="s">
        <v>29</v>
      </c>
    </row>
    <row r="13" spans="1:5" x14ac:dyDescent="0.35">
      <c r="A13" t="s">
        <v>39</v>
      </c>
      <c r="B13" s="8">
        <v>48.2</v>
      </c>
      <c r="C13" s="9">
        <f t="shared" si="0"/>
        <v>2.7956290745423749E-2</v>
      </c>
      <c r="D13" s="10">
        <v>4.4999999999999998E-2</v>
      </c>
      <c r="E13" t="s">
        <v>29</v>
      </c>
    </row>
    <row r="14" spans="1:5" x14ac:dyDescent="0.35">
      <c r="A14" t="s">
        <v>40</v>
      </c>
      <c r="B14" s="8">
        <v>38.64</v>
      </c>
      <c r="C14" s="9">
        <f t="shared" si="0"/>
        <v>2.2411433078904017E-2</v>
      </c>
      <c r="D14" s="10">
        <v>6.2E-2</v>
      </c>
      <c r="E14" t="s">
        <v>29</v>
      </c>
    </row>
    <row r="15" spans="1:5" x14ac:dyDescent="0.35">
      <c r="A15" t="s">
        <v>41</v>
      </c>
      <c r="B15" s="8">
        <v>35.880000000000003</v>
      </c>
      <c r="C15" s="9">
        <f t="shared" si="0"/>
        <v>2.0810616430410874E-2</v>
      </c>
      <c r="D15" s="10">
        <v>0.114</v>
      </c>
      <c r="E15" t="s">
        <v>29</v>
      </c>
    </row>
    <row r="16" spans="1:5" x14ac:dyDescent="0.35">
      <c r="A16" t="s">
        <v>42</v>
      </c>
      <c r="B16" s="8">
        <v>31.55</v>
      </c>
      <c r="C16" s="9">
        <f t="shared" si="0"/>
        <v>1.8299190311579238E-2</v>
      </c>
      <c r="D16" s="10">
        <v>7.8E-2</v>
      </c>
      <c r="E16" t="s">
        <v>29</v>
      </c>
    </row>
    <row r="17" spans="1:5" x14ac:dyDescent="0.35">
      <c r="A17" t="s">
        <v>43</v>
      </c>
      <c r="B17" s="8">
        <v>28.94</v>
      </c>
      <c r="C17" s="9">
        <f t="shared" si="0"/>
        <v>1.6785374567895504E-2</v>
      </c>
      <c r="D17" s="10">
        <v>5.2999999999999999E-2</v>
      </c>
      <c r="E17" t="s">
        <v>29</v>
      </c>
    </row>
    <row r="18" spans="1:5" x14ac:dyDescent="0.35">
      <c r="A18" t="s">
        <v>44</v>
      </c>
      <c r="B18" s="8">
        <v>29.32</v>
      </c>
      <c r="C18" s="9">
        <f t="shared" si="0"/>
        <v>1.7005776860079341E-2</v>
      </c>
      <c r="D18" s="10">
        <v>0.13200000000000001</v>
      </c>
      <c r="E18" t="s">
        <v>29</v>
      </c>
    </row>
    <row r="19" spans="1:5" x14ac:dyDescent="0.35">
      <c r="A19" t="s">
        <v>45</v>
      </c>
      <c r="B19" s="8">
        <v>42.5</v>
      </c>
      <c r="C19" s="9">
        <f t="shared" si="0"/>
        <v>2.4650256362666167E-2</v>
      </c>
      <c r="D19" s="10">
        <v>8.5000000000000006E-2</v>
      </c>
      <c r="E19" t="s">
        <v>29</v>
      </c>
    </row>
    <row r="20" spans="1:5" x14ac:dyDescent="0.35">
      <c r="A20" t="s">
        <v>46</v>
      </c>
      <c r="B20" s="8">
        <v>231.32</v>
      </c>
      <c r="C20" s="9">
        <f t="shared" si="0"/>
        <v>0.13416699533675147</v>
      </c>
      <c r="D20" s="10">
        <v>9.0999999999999998E-2</v>
      </c>
      <c r="E20" t="s">
        <v>29</v>
      </c>
    </row>
    <row r="21" spans="1:5" x14ac:dyDescent="0.35">
      <c r="A21" s="11" t="s">
        <v>47</v>
      </c>
      <c r="B21" s="12">
        <f>SUM(B3:B20)</f>
        <v>1724.1200000000003</v>
      </c>
      <c r="C21" s="13">
        <f>SUM(C3:C20)</f>
        <v>0.99999999999999967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20" customWidth="1"/>
    <col min="3" max="3" width="16" customWidth="1"/>
    <col min="4" max="4" width="32" customWidth="1"/>
  </cols>
  <sheetData>
    <row r="1" spans="1:4" ht="21.75" customHeight="1" x14ac:dyDescent="0.35">
      <c r="A1" s="1" t="s">
        <v>48</v>
      </c>
      <c r="B1" s="1"/>
      <c r="C1" s="1"/>
      <c r="D1" s="1"/>
    </row>
    <row r="2" spans="1:4" x14ac:dyDescent="0.35">
      <c r="A2" s="14" t="s">
        <v>49</v>
      </c>
      <c r="B2" s="14" t="s">
        <v>50</v>
      </c>
      <c r="C2" s="14" t="s">
        <v>25</v>
      </c>
      <c r="D2" s="14" t="s">
        <v>51</v>
      </c>
    </row>
    <row r="3" spans="1:4" x14ac:dyDescent="0.35">
      <c r="A3" t="s">
        <v>4</v>
      </c>
      <c r="B3" s="8">
        <v>1270.58</v>
      </c>
      <c r="C3" s="10">
        <f>B3/2124.34</f>
        <v>0.5981057646139506</v>
      </c>
      <c r="D3" t="s">
        <v>52</v>
      </c>
    </row>
    <row r="4" spans="1:4" x14ac:dyDescent="0.35">
      <c r="A4" t="s">
        <v>6</v>
      </c>
      <c r="B4" s="8">
        <v>431.1</v>
      </c>
      <c r="C4" s="10">
        <f>B4/2124.34</f>
        <v>0.20293361702928908</v>
      </c>
      <c r="D4" t="s">
        <v>53</v>
      </c>
    </row>
    <row r="5" spans="1:4" x14ac:dyDescent="0.35">
      <c r="A5" t="s">
        <v>8</v>
      </c>
      <c r="B5" s="8">
        <v>422.64</v>
      </c>
      <c r="C5" s="10">
        <f>B5/2124.34</f>
        <v>0.19895120366796273</v>
      </c>
      <c r="D5" t="s">
        <v>54</v>
      </c>
    </row>
    <row r="6" spans="1:4" x14ac:dyDescent="0.35">
      <c r="A6" s="15" t="s">
        <v>55</v>
      </c>
      <c r="B6" s="16">
        <f>SUM(B3:B5)</f>
        <v>2124.3199999999997</v>
      </c>
      <c r="C6" s="17">
        <f>SUM(C3:C5)</f>
        <v>0.99999058531120244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20" customWidth="1"/>
    <col min="3" max="3" width="14" customWidth="1"/>
    <col min="4" max="4" width="18" customWidth="1"/>
  </cols>
  <sheetData>
    <row r="1" spans="1:4" ht="21.75" customHeight="1" x14ac:dyDescent="0.35">
      <c r="A1" s="1" t="s">
        <v>56</v>
      </c>
      <c r="B1" s="1"/>
      <c r="C1" s="1"/>
      <c r="D1" s="1"/>
    </row>
    <row r="2" spans="1:4" x14ac:dyDescent="0.35">
      <c r="A2" s="18" t="s">
        <v>57</v>
      </c>
      <c r="B2" s="18" t="s">
        <v>50</v>
      </c>
      <c r="C2" s="18" t="s">
        <v>58</v>
      </c>
      <c r="D2" s="18" t="s">
        <v>59</v>
      </c>
    </row>
    <row r="3" spans="1:4" x14ac:dyDescent="0.35">
      <c r="A3" t="s">
        <v>60</v>
      </c>
      <c r="B3" s="8">
        <v>1405.31</v>
      </c>
      <c r="C3" s="10">
        <f>B3/2124.34</f>
        <v>0.66152781569805208</v>
      </c>
      <c r="D3" t="s">
        <v>61</v>
      </c>
    </row>
    <row r="4" spans="1:4" x14ac:dyDescent="0.35">
      <c r="A4" t="s">
        <v>14</v>
      </c>
      <c r="B4" s="8">
        <v>61.74</v>
      </c>
      <c r="C4" s="10">
        <f>B4/2124.34</f>
        <v>2.9063144317764574E-2</v>
      </c>
      <c r="D4" t="s">
        <v>62</v>
      </c>
    </row>
    <row r="5" spans="1:4" x14ac:dyDescent="0.35">
      <c r="A5" t="s">
        <v>16</v>
      </c>
      <c r="B5" s="8">
        <v>247.28</v>
      </c>
      <c r="C5" s="10">
        <f>B5/2124.34</f>
        <v>0.11640321229181769</v>
      </c>
      <c r="D5" t="s">
        <v>63</v>
      </c>
    </row>
    <row r="6" spans="1:4" x14ac:dyDescent="0.35">
      <c r="A6" t="s">
        <v>18</v>
      </c>
      <c r="B6" s="8">
        <v>410</v>
      </c>
      <c r="C6" s="10">
        <f>B6/2124.34</f>
        <v>0.19300112034796688</v>
      </c>
      <c r="D6" t="s">
        <v>64</v>
      </c>
    </row>
    <row r="7" spans="1:4" x14ac:dyDescent="0.35">
      <c r="A7" s="15" t="s">
        <v>65</v>
      </c>
      <c r="B7" s="16">
        <f>SUM(B3:B6)</f>
        <v>2124.33</v>
      </c>
      <c r="C7" s="17">
        <f>SUM(C3:C6)</f>
        <v>0.99999529265560128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zoomScaleNormal="100" workbookViewId="0"/>
  </sheetViews>
  <sheetFormatPr defaultColWidth="8.6328125" defaultRowHeight="14.5" x14ac:dyDescent="0.35"/>
  <cols>
    <col min="1" max="6" width="16" customWidth="1"/>
  </cols>
  <sheetData>
    <row r="1" spans="1:6" ht="21.75" customHeight="1" x14ac:dyDescent="0.35">
      <c r="A1" s="1" t="s">
        <v>66</v>
      </c>
      <c r="B1" s="1"/>
      <c r="C1" s="1"/>
      <c r="D1" s="1"/>
      <c r="E1" s="1"/>
      <c r="F1" s="1"/>
    </row>
    <row r="2" spans="1:6" ht="26" x14ac:dyDescent="0.35">
      <c r="A2" s="19" t="s">
        <v>67</v>
      </c>
      <c r="B2" s="19" t="s">
        <v>68</v>
      </c>
      <c r="C2" s="19" t="s">
        <v>69</v>
      </c>
      <c r="D2" s="19" t="s">
        <v>70</v>
      </c>
      <c r="E2" s="19" t="s">
        <v>71</v>
      </c>
      <c r="F2" s="19" t="s">
        <v>72</v>
      </c>
    </row>
    <row r="3" spans="1:6" x14ac:dyDescent="0.35">
      <c r="A3" t="s">
        <v>73</v>
      </c>
      <c r="B3" s="8">
        <v>1696.5</v>
      </c>
      <c r="C3" s="20">
        <v>0.13200000000000001</v>
      </c>
      <c r="D3" s="8">
        <v>1150</v>
      </c>
      <c r="E3" s="8">
        <v>1696.5</v>
      </c>
      <c r="F3" s="8">
        <f>E3-D3</f>
        <v>546.5</v>
      </c>
    </row>
    <row r="4" spans="1:6" x14ac:dyDescent="0.35">
      <c r="A4" t="s">
        <v>74</v>
      </c>
      <c r="B4" s="8">
        <v>1964</v>
      </c>
      <c r="C4" s="20">
        <v>0.157</v>
      </c>
      <c r="D4" s="8">
        <v>1298.5</v>
      </c>
      <c r="E4" s="8">
        <v>1964</v>
      </c>
      <c r="F4" s="8">
        <f>E4-D4</f>
        <v>665.5</v>
      </c>
    </row>
    <row r="5" spans="1:6" x14ac:dyDescent="0.35">
      <c r="A5" t="s">
        <v>75</v>
      </c>
      <c r="B5" s="8">
        <v>2124.34</v>
      </c>
      <c r="C5" s="20">
        <v>0.252</v>
      </c>
      <c r="D5" s="8">
        <v>1405.31</v>
      </c>
      <c r="E5" s="8">
        <v>2124.34</v>
      </c>
      <c r="F5" s="8">
        <f>E5-D5</f>
        <v>719.0300000000002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4" customWidth="1"/>
    <col min="3" max="3" width="12" customWidth="1"/>
    <col min="4" max="4" width="28" customWidth="1"/>
    <col min="5" max="5" width="18" customWidth="1"/>
  </cols>
  <sheetData>
    <row r="1" spans="1:5" ht="21.75" customHeight="1" x14ac:dyDescent="0.35">
      <c r="A1" s="1" t="s">
        <v>76</v>
      </c>
      <c r="B1" s="1"/>
      <c r="C1" s="1"/>
      <c r="D1" s="1"/>
      <c r="E1" s="1"/>
    </row>
    <row r="2" spans="1:5" x14ac:dyDescent="0.35">
      <c r="A2" s="21" t="s">
        <v>77</v>
      </c>
      <c r="B2" s="21" t="s">
        <v>78</v>
      </c>
      <c r="C2" s="21" t="s">
        <v>58</v>
      </c>
      <c r="D2" s="21" t="s">
        <v>79</v>
      </c>
      <c r="E2" s="21" t="s">
        <v>80</v>
      </c>
    </row>
    <row r="3" spans="1:5" x14ac:dyDescent="0.35">
      <c r="A3" t="s">
        <v>81</v>
      </c>
      <c r="B3" s="8">
        <v>302.83</v>
      </c>
      <c r="C3" s="10">
        <f t="shared" ref="C3:C8" si="0">B3/2124.34</f>
        <v>0.14255251042676784</v>
      </c>
      <c r="D3" t="s">
        <v>82</v>
      </c>
      <c r="E3" t="s">
        <v>83</v>
      </c>
    </row>
    <row r="4" spans="1:5" x14ac:dyDescent="0.35">
      <c r="A4" t="s">
        <v>84</v>
      </c>
      <c r="B4" s="8">
        <v>218.3</v>
      </c>
      <c r="C4" s="10">
        <f t="shared" si="0"/>
        <v>0.10276132822429554</v>
      </c>
      <c r="D4" t="s">
        <v>85</v>
      </c>
      <c r="E4" t="s">
        <v>86</v>
      </c>
    </row>
    <row r="5" spans="1:5" x14ac:dyDescent="0.35">
      <c r="A5" t="s">
        <v>87</v>
      </c>
      <c r="B5" s="8">
        <v>96.43</v>
      </c>
      <c r="C5" s="10">
        <f t="shared" si="0"/>
        <v>4.5392922036962068E-2</v>
      </c>
      <c r="D5" t="s">
        <v>88</v>
      </c>
      <c r="E5" t="s">
        <v>89</v>
      </c>
    </row>
    <row r="6" spans="1:5" x14ac:dyDescent="0.35">
      <c r="A6" t="s">
        <v>90</v>
      </c>
      <c r="B6" s="8">
        <v>114.02</v>
      </c>
      <c r="C6" s="10">
        <f t="shared" si="0"/>
        <v>5.3673140834329718E-2</v>
      </c>
      <c r="D6" t="s">
        <v>91</v>
      </c>
      <c r="E6" t="s">
        <v>92</v>
      </c>
    </row>
    <row r="7" spans="1:5" x14ac:dyDescent="0.35">
      <c r="A7" t="s">
        <v>93</v>
      </c>
      <c r="B7" s="8">
        <v>73.12</v>
      </c>
      <c r="C7" s="10">
        <f t="shared" si="0"/>
        <v>3.4420102243520337E-2</v>
      </c>
      <c r="D7" t="s">
        <v>94</v>
      </c>
      <c r="E7" t="s">
        <v>95</v>
      </c>
    </row>
    <row r="8" spans="1:5" x14ac:dyDescent="0.35">
      <c r="A8" t="s">
        <v>96</v>
      </c>
      <c r="B8" s="8">
        <v>122.61</v>
      </c>
      <c r="C8" s="10">
        <f t="shared" si="0"/>
        <v>5.771674967283956E-2</v>
      </c>
      <c r="D8" t="s">
        <v>97</v>
      </c>
      <c r="E8" t="s">
        <v>98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zoomScaleNormal="100" workbookViewId="0"/>
  </sheetViews>
  <sheetFormatPr defaultColWidth="8.6328125" defaultRowHeight="14.5" x14ac:dyDescent="0.35"/>
  <cols>
    <col min="1" max="1" width="32" customWidth="1"/>
    <col min="2" max="2" width="55" customWidth="1"/>
  </cols>
  <sheetData>
    <row r="1" spans="1:2" ht="21.75" customHeight="1" x14ac:dyDescent="0.35">
      <c r="A1" s="1" t="s">
        <v>99</v>
      </c>
      <c r="B1" s="1"/>
    </row>
    <row r="2" spans="1:2" x14ac:dyDescent="0.35">
      <c r="A2" s="22" t="s">
        <v>100</v>
      </c>
      <c r="B2" s="22" t="s">
        <v>101</v>
      </c>
    </row>
    <row r="3" spans="1:2" ht="30" customHeight="1" x14ac:dyDescent="0.35">
      <c r="A3" s="23" t="s">
        <v>102</v>
      </c>
      <c r="B3" s="23" t="s">
        <v>103</v>
      </c>
    </row>
    <row r="4" spans="1:2" ht="30" customHeight="1" x14ac:dyDescent="0.35">
      <c r="A4" s="23" t="s">
        <v>104</v>
      </c>
      <c r="B4" s="23" t="s">
        <v>105</v>
      </c>
    </row>
    <row r="5" spans="1:2" ht="30" customHeight="1" x14ac:dyDescent="0.35">
      <c r="A5" s="23" t="s">
        <v>106</v>
      </c>
      <c r="B5" s="23" t="s">
        <v>107</v>
      </c>
    </row>
    <row r="6" spans="1:2" ht="30" customHeight="1" x14ac:dyDescent="0.35">
      <c r="A6" s="23" t="s">
        <v>108</v>
      </c>
      <c r="B6" s="23" t="s">
        <v>109</v>
      </c>
    </row>
    <row r="7" spans="1:2" ht="30" customHeight="1" x14ac:dyDescent="0.35">
      <c r="A7" s="23" t="s">
        <v>110</v>
      </c>
      <c r="B7" s="23" t="s">
        <v>111</v>
      </c>
    </row>
    <row r="8" spans="1:2" ht="30" customHeight="1" x14ac:dyDescent="0.35">
      <c r="A8" s="23" t="s">
        <v>112</v>
      </c>
      <c r="B8" s="23" t="s">
        <v>113</v>
      </c>
    </row>
    <row r="9" spans="1:2" ht="30" customHeight="1" x14ac:dyDescent="0.35">
      <c r="A9" s="23" t="s">
        <v>114</v>
      </c>
      <c r="B9" s="23" t="s">
        <v>115</v>
      </c>
    </row>
    <row r="10" spans="1:2" ht="30" customHeight="1" x14ac:dyDescent="0.35">
      <c r="A10" s="23" t="s">
        <v>116</v>
      </c>
      <c r="B10" s="23" t="s">
        <v>117</v>
      </c>
    </row>
    <row r="11" spans="1:2" ht="30" customHeight="1" x14ac:dyDescent="0.35">
      <c r="A11" s="23" t="s">
        <v>118</v>
      </c>
      <c r="B11" s="23" t="s">
        <v>119</v>
      </c>
    </row>
    <row r="12" spans="1:2" ht="30" customHeight="1" x14ac:dyDescent="0.35">
      <c r="A12" s="23" t="s">
        <v>120</v>
      </c>
      <c r="B12" s="23" t="s">
        <v>121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Ministry Allocation</vt:lpstr>
      <vt:lpstr>Expenditure Structure</vt:lpstr>
      <vt:lpstr>Revenue Sources</vt:lpstr>
      <vt:lpstr>Fiscal Trends</vt:lpstr>
      <vt:lpstr>Top Priority Sectors</vt:lpstr>
      <vt:lpstr>Key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sonukumar5149@outlook.com</cp:lastModifiedBy>
  <cp:revision>0</cp:revision>
  <dcterms:created xsi:type="dcterms:W3CDTF">2026-05-31T12:57:42Z</dcterms:created>
  <dcterms:modified xsi:type="dcterms:W3CDTF">2026-05-31T14:59:21Z</dcterms:modified>
  <dc:language>en-US</dc:language>
</cp:coreProperties>
</file>